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  <sheet name="Hoja1" sheetId="5" r:id="rId4"/>
  </sheets>
  <calcPr calcId="162913"/>
</workbook>
</file>

<file path=xl/calcChain.xml><?xml version="1.0" encoding="utf-8"?>
<calcChain xmlns="http://schemas.openxmlformats.org/spreadsheetml/2006/main">
  <c r="P11" i="2" l="1"/>
  <c r="P8" i="2"/>
  <c r="H8" i="2"/>
  <c r="A8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D17" i="2" l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K11" i="2" l="1"/>
  <c r="E8" i="2"/>
  <c r="F11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<sst xmlns="http://schemas.openxmlformats.org/spreadsheetml/2006/main" count="472" uniqueCount="186">
  <si>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</si>
  <si>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</si>
  <si>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</si>
  <si>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</si>
  <si>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</si>
  <si>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</si>
  <si>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</si>
  <si>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</si>
  <si>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</si>
  <si>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</si>
  <si>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</si>
  <si>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</si>
  <si>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</si>
  <si>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</si>
  <si>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</si>
  <si>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</si>
  <si>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</si>
  <si>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</si>
  <si>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</si>
  <si>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</si>
  <si>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</si>
  <si>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</si>
  <si>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</si>
  <si>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</si>
  <si>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</si>
  <si>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</si>
  <si>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</si>
  <si>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</si>
  <si>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</si>
  <si>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</si>
  <si>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</si>
  <si>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</si>
  <si>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</si>
  <si>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</si>
  <si>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</si>
  <si>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</si>
  <si>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</si>
  <si>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</si>
  <si>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</si>
  <si>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</si>
  <si>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</si>
  <si>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</si>
  <si>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</si>
  <si>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</si>
  <si>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</si>
  <si>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</si>
  <si>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</si>
  <si>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</si>
  <si>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</si>
  <si>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</si>
  <si>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</si>
  <si>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</si>
  <si>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</si>
  <si>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</si>
  <si>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</si>
  <si>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</si>
  <si>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</si>
  <si>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</si>
  <si>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</si>
  <si>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</si>
  <si>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</si>
  <si>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</si>
  <si>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</si>
  <si>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</si>
  <si>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</si>
  <si>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</si>
  <si>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</si>
  <si>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</si>
  <si>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</si>
  <si>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</si>
  <si>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</si>
  <si>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</si>
  <si>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</si>
  <si>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</si>
  <si>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</si>
  <si>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</si>
  <si>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</si>
  <si>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</si>
  <si>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</si>
  <si>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</si>
  <si>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</si>
  <si>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</si>
  <si>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</si>
  <si>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</si>
  <si>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</si>
  <si>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</si>
  <si>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</si>
  <si>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</si>
  <si>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</si>
  <si>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</si>
  <si>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</si>
  <si>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</si>
  <si>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</si>
  <si>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</si>
  <si>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</si>
  <si>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</si>
  <si>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</si>
  <si>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</si>
  <si>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</si>
  <si>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</si>
  <si>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</si>
  <si>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</si>
  <si>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</si>
  <si>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</si>
  <si>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</si>
  <si>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</si>
  <si>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</si>
  <si>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</si>
  <si>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</si>
  <si>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</si>
  <si>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</si>
  <si>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</si>
  <si>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</si>
  <si>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</si>
  <si>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</si>
  <si>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</si>
  <si>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</si>
  <si>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</si>
  <si>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</si>
  <si>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</si>
  <si>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</si>
  <si>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</si>
  <si>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</si>
  <si>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</si>
  <si>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</si>
  <si>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</si>
  <si>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</si>
  <si>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</si>
  <si>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</si>
  <si>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</si>
  <si>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</si>
  <si>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</si>
  <si>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</si>
  <si>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</si>
  <si>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</si>
  <si>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</si>
  <si>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</si>
  <si>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</si>
  <si>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</si>
  <si>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</si>
  <si>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</si>
  <si>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</si>
  <si>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</si>
  <si>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</si>
  <si>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</si>
  <si>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</si>
  <si>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</si>
  <si>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</si>
  <si>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</si>
  <si>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</si>
  <si>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</si>
  <si>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</si>
  <si>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</si>
  <si>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</si>
  <si>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</si>
  <si>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</si>
  <si>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</si>
  <si>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</si>
  <si>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</si>
  <si>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</si>
  <si>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</si>
  <si>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</si>
  <si>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</si>
  <si>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</si>
  <si>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</si>
  <si>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</si>
  <si>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</si>
  <si>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</si>
  <si>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</si>
  <si>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</si>
  <si>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</si>
  <si>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</si>
  <si>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</si>
  <si>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</si>
  <si>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</si>
  <si>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</si>
  <si>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</si>
  <si>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</si>
  <si>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</si>
  <si>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</si>
  <si>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</si>
  <si>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</si>
  <si>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</si>
  <si>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</si>
  <si>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 xml:space="preserve">Pedro Eduardo Velásquez </t>
  </si>
  <si>
    <t xml:space="preserve">5to Baco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</si>
</sst>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0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30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180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4"/>
  <sheetViews>
    <sheetView showGridLines="0" zoomScale="85" zoomScaleNormal="85" workbookViewId="0">
      <selection activeCell="G6" sqref="G6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25</v>
      </c>
      <c r="D5" s="36" t="s">
        <v>152</v>
      </c>
      <c r="E5" s="36">
        <f t="shared" ref="E5:E36" ca="1" si="1">RANDBETWEEN(18,41)</f>
        <v>25</v>
      </c>
      <c r="F5" s="36" t="s">
        <v>155</v>
      </c>
      <c r="G5" s="42">
        <f t="shared" ref="G5:G36" ca="1" si="2">RANDBETWEEN(2000000000101,9000000009999)</f>
        <v>4307244824308</v>
      </c>
      <c r="H5" s="43">
        <f t="shared" ref="H5:H36" ca="1" si="3">RANDBETWEEN(DATE(2001,1,1),DATE(2018,7,15))</f>
        <v>38429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27</v>
      </c>
      <c r="D6" s="36" t="s">
        <v>152</v>
      </c>
      <c r="E6" s="36">
        <f t="shared" ca="1" si="1"/>
        <v>33</v>
      </c>
      <c r="F6" s="36" t="s">
        <v>156</v>
      </c>
      <c r="G6" s="42">
        <f t="shared" ca="1" si="2"/>
        <v>7622190980921</v>
      </c>
      <c r="H6" s="43">
        <f t="shared" ca="1" si="3"/>
        <v>42508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30</v>
      </c>
      <c r="D7" s="36" t="s">
        <v>152</v>
      </c>
      <c r="E7" s="36">
        <f t="shared" ca="1" si="1"/>
        <v>35</v>
      </c>
      <c r="F7" s="36" t="s">
        <v>158</v>
      </c>
      <c r="G7" s="42">
        <f t="shared" ca="1" si="2"/>
        <v>3635034377267</v>
      </c>
      <c r="H7" s="43">
        <f t="shared" ca="1" si="3"/>
        <v>40776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24</v>
      </c>
      <c r="F8" s="36" t="s">
        <v>160</v>
      </c>
      <c r="G8" s="42">
        <f t="shared" ca="1" si="2"/>
        <v>3298472007153</v>
      </c>
      <c r="H8" s="43">
        <f t="shared" ca="1" si="3"/>
        <v>41163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30</v>
      </c>
      <c r="D9" s="36" t="s">
        <v>152</v>
      </c>
      <c r="E9" s="36">
        <f t="shared" ca="1" si="1"/>
        <v>34</v>
      </c>
      <c r="F9" s="36" t="s">
        <v>167</v>
      </c>
      <c r="G9" s="42">
        <f t="shared" ca="1" si="2"/>
        <v>8926813566164</v>
      </c>
      <c r="H9" s="43">
        <f t="shared" ca="1" si="3"/>
        <v>41074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26</v>
      </c>
      <c r="D10" s="36" t="s">
        <v>152</v>
      </c>
      <c r="E10" s="36">
        <f t="shared" ca="1" si="1"/>
        <v>33</v>
      </c>
      <c r="F10" s="36" t="s">
        <v>162</v>
      </c>
      <c r="G10" s="42">
        <f t="shared" ca="1" si="2"/>
        <v>6190816634862</v>
      </c>
      <c r="H10" s="43">
        <f t="shared" ca="1" si="3"/>
        <v>42970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30</v>
      </c>
      <c r="D11" s="36" t="s">
        <v>152</v>
      </c>
      <c r="E11" s="36">
        <f t="shared" ca="1" si="1"/>
        <v>30</v>
      </c>
      <c r="F11" s="36" t="s">
        <v>154</v>
      </c>
      <c r="G11" s="42">
        <f t="shared" ca="1" si="2"/>
        <v>8921097935911</v>
      </c>
      <c r="H11" s="43">
        <f t="shared" ca="1" si="3"/>
        <v>37443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28</v>
      </c>
      <c r="D12" s="36" t="s">
        <v>152</v>
      </c>
      <c r="E12" s="36">
        <f t="shared" ca="1" si="1"/>
        <v>34</v>
      </c>
      <c r="F12" s="36" t="s">
        <v>163</v>
      </c>
      <c r="G12" s="42">
        <f t="shared" ca="1" si="2"/>
        <v>7455028035561</v>
      </c>
      <c r="H12" s="43">
        <f t="shared" ca="1" si="3"/>
        <v>39045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29</v>
      </c>
      <c r="D13" s="36" t="s">
        <v>153</v>
      </c>
      <c r="E13" s="36">
        <f t="shared" ca="1" si="1"/>
        <v>35</v>
      </c>
      <c r="F13" s="36" t="s">
        <v>156</v>
      </c>
      <c r="G13" s="42">
        <f t="shared" ca="1" si="2"/>
        <v>2847724346913</v>
      </c>
      <c r="H13" s="43">
        <f t="shared" ca="1" si="3"/>
        <v>37568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27</v>
      </c>
      <c r="D14" s="36" t="s">
        <v>152</v>
      </c>
      <c r="E14" s="36">
        <f t="shared" ca="1" si="1"/>
        <v>26</v>
      </c>
      <c r="F14" s="36" t="s">
        <v>167</v>
      </c>
      <c r="G14" s="42">
        <f t="shared" ca="1" si="2"/>
        <v>6923597795499</v>
      </c>
      <c r="H14" s="43">
        <f t="shared" ca="1" si="3"/>
        <v>36974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36</v>
      </c>
      <c r="F15" s="36" t="s">
        <v>167</v>
      </c>
      <c r="G15" s="42">
        <f t="shared" ca="1" si="2"/>
        <v>8254570154489</v>
      </c>
      <c r="H15" s="43">
        <f t="shared" ca="1" si="3"/>
        <v>37693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27</v>
      </c>
      <c r="D16" s="36" t="s">
        <v>153</v>
      </c>
      <c r="E16" s="36">
        <f t="shared" ca="1" si="1"/>
        <v>28</v>
      </c>
      <c r="F16" s="36" t="s">
        <v>154</v>
      </c>
      <c r="G16" s="42">
        <f t="shared" ca="1" si="2"/>
        <v>3278155885863</v>
      </c>
      <c r="H16" s="43">
        <f t="shared" ca="1" si="3"/>
        <v>41626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27</v>
      </c>
      <c r="D17" s="36" t="s">
        <v>153</v>
      </c>
      <c r="E17" s="36">
        <f t="shared" ca="1" si="1"/>
        <v>37</v>
      </c>
      <c r="F17" s="36" t="s">
        <v>159</v>
      </c>
      <c r="G17" s="42">
        <f t="shared" ca="1" si="2"/>
        <v>3789215438647</v>
      </c>
      <c r="H17" s="43">
        <f t="shared" ca="1" si="3"/>
        <v>43013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29</v>
      </c>
      <c r="D18" s="36" t="s">
        <v>153</v>
      </c>
      <c r="E18" s="36">
        <f t="shared" ca="1" si="1"/>
        <v>22</v>
      </c>
      <c r="F18" s="36" t="s">
        <v>156</v>
      </c>
      <c r="G18" s="42">
        <f t="shared" ca="1" si="2"/>
        <v>2302107085500</v>
      </c>
      <c r="H18" s="43">
        <f t="shared" ca="1" si="3"/>
        <v>37503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27</v>
      </c>
      <c r="D19" s="36" t="s">
        <v>152</v>
      </c>
      <c r="E19" s="36">
        <f t="shared" ca="1" si="1"/>
        <v>19</v>
      </c>
      <c r="F19" s="36" t="s">
        <v>156</v>
      </c>
      <c r="G19" s="42">
        <f t="shared" ca="1" si="2"/>
        <v>6033748993068</v>
      </c>
      <c r="H19" s="43">
        <f t="shared" ca="1" si="3"/>
        <v>38461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28</v>
      </c>
      <c r="D20" s="36" t="s">
        <v>152</v>
      </c>
      <c r="E20" s="36">
        <f t="shared" ca="1" si="1"/>
        <v>26</v>
      </c>
      <c r="F20" s="36" t="s">
        <v>156</v>
      </c>
      <c r="G20" s="42">
        <f t="shared" ca="1" si="2"/>
        <v>6338902713261</v>
      </c>
      <c r="H20" s="43">
        <f t="shared" ca="1" si="3"/>
        <v>39398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28</v>
      </c>
      <c r="D21" s="36" t="s">
        <v>152</v>
      </c>
      <c r="E21" s="36">
        <f t="shared" ca="1" si="1"/>
        <v>37</v>
      </c>
      <c r="F21" s="36" t="s">
        <v>158</v>
      </c>
      <c r="G21" s="42">
        <f t="shared" ca="1" si="2"/>
        <v>4744909666773</v>
      </c>
      <c r="H21" s="43">
        <f t="shared" ca="1" si="3"/>
        <v>38438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25</v>
      </c>
      <c r="D22" s="36" t="s">
        <v>153</v>
      </c>
      <c r="E22" s="36">
        <f t="shared" ca="1" si="1"/>
        <v>29</v>
      </c>
      <c r="F22" s="36" t="s">
        <v>159</v>
      </c>
      <c r="G22" s="42">
        <f t="shared" ca="1" si="2"/>
        <v>7257276240841</v>
      </c>
      <c r="H22" s="43">
        <f t="shared" ca="1" si="3"/>
        <v>40534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25</v>
      </c>
      <c r="D23" s="36" t="s">
        <v>153</v>
      </c>
      <c r="E23" s="36">
        <f t="shared" ca="1" si="1"/>
        <v>23</v>
      </c>
      <c r="F23" s="36" t="s">
        <v>155</v>
      </c>
      <c r="G23" s="42">
        <f t="shared" ca="1" si="2"/>
        <v>3870608060592</v>
      </c>
      <c r="H23" s="43">
        <f t="shared" ca="1" si="3"/>
        <v>43147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28</v>
      </c>
      <c r="D24" s="36" t="s">
        <v>153</v>
      </c>
      <c r="E24" s="36">
        <f t="shared" ca="1" si="1"/>
        <v>23</v>
      </c>
      <c r="F24" s="36" t="s">
        <v>167</v>
      </c>
      <c r="G24" s="42">
        <f t="shared" ca="1" si="2"/>
        <v>8831228103474</v>
      </c>
      <c r="H24" s="43">
        <f t="shared" ca="1" si="3"/>
        <v>42995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26</v>
      </c>
      <c r="D25" s="36" t="s">
        <v>153</v>
      </c>
      <c r="E25" s="36">
        <f t="shared" ca="1" si="1"/>
        <v>41</v>
      </c>
      <c r="F25" s="36" t="s">
        <v>159</v>
      </c>
      <c r="G25" s="42">
        <f t="shared" ca="1" si="2"/>
        <v>7594222338924</v>
      </c>
      <c r="H25" s="43">
        <f t="shared" ca="1" si="3"/>
        <v>40058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28</v>
      </c>
      <c r="D26" s="36" t="s">
        <v>152</v>
      </c>
      <c r="E26" s="36">
        <f t="shared" ca="1" si="1"/>
        <v>21</v>
      </c>
      <c r="F26" s="36" t="s">
        <v>156</v>
      </c>
      <c r="G26" s="42">
        <f t="shared" ca="1" si="2"/>
        <v>3651651277330</v>
      </c>
      <c r="H26" s="43">
        <f t="shared" ca="1" si="3"/>
        <v>40201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25</v>
      </c>
      <c r="D27" s="36" t="s">
        <v>152</v>
      </c>
      <c r="E27" s="36">
        <f t="shared" ca="1" si="1"/>
        <v>34</v>
      </c>
      <c r="F27" s="36" t="s">
        <v>169</v>
      </c>
      <c r="G27" s="42">
        <f t="shared" ca="1" si="2"/>
        <v>4122178385354</v>
      </c>
      <c r="H27" s="43">
        <f t="shared" ca="1" si="3"/>
        <v>41474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26</v>
      </c>
      <c r="D28" s="36" t="s">
        <v>153</v>
      </c>
      <c r="E28" s="36">
        <f t="shared" ca="1" si="1"/>
        <v>19</v>
      </c>
      <c r="F28" s="36" t="s">
        <v>156</v>
      </c>
      <c r="G28" s="42">
        <f t="shared" ca="1" si="2"/>
        <v>8635766749210</v>
      </c>
      <c r="H28" s="43">
        <f t="shared" ca="1" si="3"/>
        <v>37245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27</v>
      </c>
      <c r="D29" s="36" t="s">
        <v>152</v>
      </c>
      <c r="E29" s="36">
        <f t="shared" ca="1" si="1"/>
        <v>41</v>
      </c>
      <c r="F29" s="36" t="s">
        <v>160</v>
      </c>
      <c r="G29" s="42">
        <f t="shared" ca="1" si="2"/>
        <v>2696039993837</v>
      </c>
      <c r="H29" s="43">
        <f t="shared" ca="1" si="3"/>
        <v>39042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25</v>
      </c>
      <c r="D30" s="36" t="s">
        <v>153</v>
      </c>
      <c r="E30" s="36">
        <f t="shared" ca="1" si="1"/>
        <v>27</v>
      </c>
      <c r="F30" s="36" t="s">
        <v>156</v>
      </c>
      <c r="G30" s="42">
        <f t="shared" ca="1" si="2"/>
        <v>7909372155020</v>
      </c>
      <c r="H30" s="43">
        <f t="shared" ca="1" si="3"/>
        <v>41089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26</v>
      </c>
      <c r="D31" s="36" t="s">
        <v>153</v>
      </c>
      <c r="E31" s="36">
        <f t="shared" ca="1" si="1"/>
        <v>34</v>
      </c>
      <c r="F31" s="36" t="s">
        <v>163</v>
      </c>
      <c r="G31" s="42">
        <f t="shared" ca="1" si="2"/>
        <v>3694844382241</v>
      </c>
      <c r="H31" s="43">
        <f t="shared" ca="1" si="3"/>
        <v>37886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29</v>
      </c>
      <c r="D32" s="36" t="s">
        <v>152</v>
      </c>
      <c r="E32" s="36">
        <f t="shared" ca="1" si="1"/>
        <v>23</v>
      </c>
      <c r="F32" s="36" t="s">
        <v>169</v>
      </c>
      <c r="G32" s="42">
        <f t="shared" ca="1" si="2"/>
        <v>8514870179571</v>
      </c>
      <c r="H32" s="43">
        <f t="shared" ca="1" si="3"/>
        <v>37231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27</v>
      </c>
      <c r="D33" s="36" t="s">
        <v>152</v>
      </c>
      <c r="E33" s="36">
        <f t="shared" ca="1" si="1"/>
        <v>21</v>
      </c>
      <c r="F33" s="36" t="s">
        <v>154</v>
      </c>
      <c r="G33" s="42">
        <f t="shared" ca="1" si="2"/>
        <v>3933626617132</v>
      </c>
      <c r="H33" s="43">
        <f t="shared" ca="1" si="3"/>
        <v>38566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30</v>
      </c>
      <c r="D34" s="36" t="s">
        <v>153</v>
      </c>
      <c r="E34" s="36">
        <f t="shared" ca="1" si="1"/>
        <v>25</v>
      </c>
      <c r="F34" s="36" t="s">
        <v>169</v>
      </c>
      <c r="G34" s="42">
        <f t="shared" ca="1" si="2"/>
        <v>2293559547203</v>
      </c>
      <c r="H34" s="43">
        <f t="shared" ca="1" si="3"/>
        <v>39862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30</v>
      </c>
      <c r="D35" s="36" t="s">
        <v>152</v>
      </c>
      <c r="E35" s="36">
        <f t="shared" ca="1" si="1"/>
        <v>33</v>
      </c>
      <c r="F35" s="36" t="s">
        <v>156</v>
      </c>
      <c r="G35" s="42">
        <f t="shared" ca="1" si="2"/>
        <v>8032595443312</v>
      </c>
      <c r="H35" s="43">
        <f t="shared" ca="1" si="3"/>
        <v>42113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27</v>
      </c>
      <c r="D36" s="36" t="s">
        <v>153</v>
      </c>
      <c r="E36" s="36">
        <f t="shared" ca="1" si="1"/>
        <v>37</v>
      </c>
      <c r="F36" s="36" t="s">
        <v>169</v>
      </c>
      <c r="G36" s="42">
        <f t="shared" ca="1" si="2"/>
        <v>3473088917436</v>
      </c>
      <c r="H36" s="43">
        <f t="shared" ca="1" si="3"/>
        <v>37186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30</v>
      </c>
      <c r="D37" s="36" t="s">
        <v>152</v>
      </c>
      <c r="E37" s="36">
        <f t="shared" ref="E37:E68" ca="1" si="5">RANDBETWEEN(18,41)</f>
        <v>34</v>
      </c>
      <c r="F37" s="36" t="s">
        <v>169</v>
      </c>
      <c r="G37" s="42">
        <f t="shared" ref="G37:G68" ca="1" si="6">RANDBETWEEN(2000000000101,9000000009999)</f>
        <v>3283605533250</v>
      </c>
      <c r="H37" s="43">
        <f t="shared" ref="H37:H68" ca="1" si="7">RANDBETWEEN(DATE(2001,1,1),DATE(2018,7,15))</f>
        <v>41878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30</v>
      </c>
      <c r="D38" s="36" t="s">
        <v>153</v>
      </c>
      <c r="E38" s="36">
        <f t="shared" ca="1" si="5"/>
        <v>30</v>
      </c>
      <c r="F38" s="36" t="s">
        <v>169</v>
      </c>
      <c r="G38" s="42">
        <f t="shared" ca="1" si="6"/>
        <v>4490588659153</v>
      </c>
      <c r="H38" s="43">
        <f t="shared" ca="1" si="7"/>
        <v>40729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25</v>
      </c>
      <c r="D39" s="36" t="s">
        <v>153</v>
      </c>
      <c r="E39" s="36">
        <f t="shared" ca="1" si="5"/>
        <v>35</v>
      </c>
      <c r="F39" s="36" t="s">
        <v>156</v>
      </c>
      <c r="G39" s="42">
        <f t="shared" ca="1" si="6"/>
        <v>4253288885941</v>
      </c>
      <c r="H39" s="43">
        <f t="shared" ca="1" si="7"/>
        <v>38840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29</v>
      </c>
      <c r="D40" s="36" t="s">
        <v>152</v>
      </c>
      <c r="E40" s="36">
        <f t="shared" ca="1" si="5"/>
        <v>24</v>
      </c>
      <c r="F40" s="36" t="s">
        <v>155</v>
      </c>
      <c r="G40" s="42">
        <f t="shared" ca="1" si="6"/>
        <v>4569519140622</v>
      </c>
      <c r="H40" s="43">
        <f t="shared" ca="1" si="7"/>
        <v>39239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25</v>
      </c>
      <c r="D41" s="36" t="s">
        <v>152</v>
      </c>
      <c r="E41" s="36">
        <f t="shared" ca="1" si="5"/>
        <v>40</v>
      </c>
      <c r="F41" s="36" t="s">
        <v>169</v>
      </c>
      <c r="G41" s="42">
        <f t="shared" ca="1" si="6"/>
        <v>3756562119384</v>
      </c>
      <c r="H41" s="43">
        <f t="shared" ca="1" si="7"/>
        <v>39019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26</v>
      </c>
      <c r="D42" s="36" t="s">
        <v>153</v>
      </c>
      <c r="E42" s="36">
        <f t="shared" ca="1" si="5"/>
        <v>38</v>
      </c>
      <c r="F42" s="36" t="s">
        <v>158</v>
      </c>
      <c r="G42" s="42">
        <f t="shared" ca="1" si="6"/>
        <v>3855346636776</v>
      </c>
      <c r="H42" s="43">
        <f t="shared" ca="1" si="7"/>
        <v>41860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29</v>
      </c>
      <c r="D43" s="36" t="s">
        <v>153</v>
      </c>
      <c r="E43" s="36">
        <f t="shared" ca="1" si="5"/>
        <v>20</v>
      </c>
      <c r="F43" s="36" t="s">
        <v>159</v>
      </c>
      <c r="G43" s="42">
        <f t="shared" ca="1" si="6"/>
        <v>3725712876776</v>
      </c>
      <c r="H43" s="43">
        <f t="shared" ca="1" si="7"/>
        <v>39626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25</v>
      </c>
      <c r="D44" s="36" t="s">
        <v>152</v>
      </c>
      <c r="E44" s="36">
        <f t="shared" ca="1" si="5"/>
        <v>41</v>
      </c>
      <c r="F44" s="36" t="s">
        <v>156</v>
      </c>
      <c r="G44" s="42">
        <f t="shared" ca="1" si="6"/>
        <v>8078387033624</v>
      </c>
      <c r="H44" s="43">
        <f t="shared" ca="1" si="7"/>
        <v>42705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26</v>
      </c>
      <c r="D45" s="36" t="s">
        <v>153</v>
      </c>
      <c r="E45" s="36">
        <f t="shared" ca="1" si="5"/>
        <v>27</v>
      </c>
      <c r="F45" s="36" t="s">
        <v>169</v>
      </c>
      <c r="G45" s="42">
        <f t="shared" ca="1" si="6"/>
        <v>3546707590711</v>
      </c>
      <c r="H45" s="43">
        <f t="shared" ca="1" si="7"/>
        <v>39362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26</v>
      </c>
      <c r="D46" s="36" t="s">
        <v>153</v>
      </c>
      <c r="E46" s="36">
        <f t="shared" ca="1" si="5"/>
        <v>24</v>
      </c>
      <c r="F46" s="36" t="s">
        <v>156</v>
      </c>
      <c r="G46" s="42">
        <f t="shared" ca="1" si="6"/>
        <v>2879982397404</v>
      </c>
      <c r="H46" s="43">
        <f t="shared" ca="1" si="7"/>
        <v>41111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25</v>
      </c>
      <c r="D47" s="36" t="s">
        <v>152</v>
      </c>
      <c r="E47" s="36">
        <f t="shared" ca="1" si="5"/>
        <v>21</v>
      </c>
      <c r="F47" s="36" t="s">
        <v>169</v>
      </c>
      <c r="G47" s="42">
        <f t="shared" ca="1" si="6"/>
        <v>3684402186693</v>
      </c>
      <c r="H47" s="43">
        <f t="shared" ca="1" si="7"/>
        <v>40447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26</v>
      </c>
      <c r="D48" s="36" t="s">
        <v>153</v>
      </c>
      <c r="E48" s="36">
        <f t="shared" ca="1" si="5"/>
        <v>40</v>
      </c>
      <c r="F48" s="36" t="s">
        <v>159</v>
      </c>
      <c r="G48" s="42">
        <f t="shared" ca="1" si="6"/>
        <v>2781809046362</v>
      </c>
      <c r="H48" s="43">
        <f t="shared" ca="1" si="7"/>
        <v>42850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27</v>
      </c>
      <c r="D49" s="36" t="s">
        <v>153</v>
      </c>
      <c r="E49" s="36">
        <f t="shared" ca="1" si="5"/>
        <v>29</v>
      </c>
      <c r="F49" s="36" t="s">
        <v>156</v>
      </c>
      <c r="G49" s="42">
        <f t="shared" ca="1" si="6"/>
        <v>5244777218424</v>
      </c>
      <c r="H49" s="43">
        <f t="shared" ca="1" si="7"/>
        <v>42479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26</v>
      </c>
      <c r="D50" s="36" t="s">
        <v>153</v>
      </c>
      <c r="E50" s="36">
        <f t="shared" ca="1" si="5"/>
        <v>22</v>
      </c>
      <c r="F50" s="36" t="s">
        <v>169</v>
      </c>
      <c r="G50" s="42">
        <f t="shared" ca="1" si="6"/>
        <v>8888389831833</v>
      </c>
      <c r="H50" s="43">
        <f t="shared" ca="1" si="7"/>
        <v>40195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29</v>
      </c>
      <c r="D51" s="36" t="s">
        <v>152</v>
      </c>
      <c r="E51" s="36">
        <f t="shared" ca="1" si="5"/>
        <v>38</v>
      </c>
      <c r="F51" s="36" t="s">
        <v>169</v>
      </c>
      <c r="G51" s="42">
        <f t="shared" ca="1" si="6"/>
        <v>8905497150361</v>
      </c>
      <c r="H51" s="43">
        <f t="shared" ca="1" si="7"/>
        <v>41804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27</v>
      </c>
      <c r="D52" s="36" t="s">
        <v>153</v>
      </c>
      <c r="E52" s="36">
        <f t="shared" ca="1" si="5"/>
        <v>33</v>
      </c>
      <c r="F52" s="36" t="s">
        <v>155</v>
      </c>
      <c r="G52" s="42">
        <f t="shared" ca="1" si="6"/>
        <v>6807819980973</v>
      </c>
      <c r="H52" s="43">
        <f t="shared" ca="1" si="7"/>
        <v>40526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26</v>
      </c>
      <c r="D53" s="36" t="s">
        <v>152</v>
      </c>
      <c r="E53" s="36">
        <f t="shared" ca="1" si="5"/>
        <v>37</v>
      </c>
      <c r="F53" s="36" t="s">
        <v>169</v>
      </c>
      <c r="G53" s="42">
        <f t="shared" ca="1" si="6"/>
        <v>6445828944948</v>
      </c>
      <c r="H53" s="43">
        <f t="shared" ca="1" si="7"/>
        <v>42205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28</v>
      </c>
      <c r="D54" s="36" t="s">
        <v>152</v>
      </c>
      <c r="E54" s="36">
        <f t="shared" ca="1" si="5"/>
        <v>19</v>
      </c>
      <c r="F54" s="36" t="s">
        <v>167</v>
      </c>
      <c r="G54" s="42">
        <f t="shared" ca="1" si="6"/>
        <v>5371706901853</v>
      </c>
      <c r="H54" s="43">
        <f t="shared" ca="1" si="7"/>
        <v>40945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28</v>
      </c>
      <c r="D55" s="36" t="s">
        <v>152</v>
      </c>
      <c r="E55" s="36">
        <f t="shared" ca="1" si="5"/>
        <v>25</v>
      </c>
      <c r="F55" s="36" t="s">
        <v>156</v>
      </c>
      <c r="G55" s="42">
        <f t="shared" ca="1" si="6"/>
        <v>5960949063889</v>
      </c>
      <c r="H55" s="43">
        <f t="shared" ca="1" si="7"/>
        <v>41861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27</v>
      </c>
      <c r="D56" s="36" t="s">
        <v>153</v>
      </c>
      <c r="E56" s="36">
        <f t="shared" ca="1" si="5"/>
        <v>30</v>
      </c>
      <c r="F56" s="36" t="s">
        <v>156</v>
      </c>
      <c r="G56" s="42">
        <f t="shared" ca="1" si="6"/>
        <v>3742627519549</v>
      </c>
      <c r="H56" s="43">
        <f t="shared" ca="1" si="7"/>
        <v>39184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26</v>
      </c>
      <c r="D57" s="36" t="s">
        <v>152</v>
      </c>
      <c r="E57" s="36">
        <f t="shared" ca="1" si="5"/>
        <v>22</v>
      </c>
      <c r="F57" s="36" t="s">
        <v>169</v>
      </c>
      <c r="G57" s="42">
        <f t="shared" ca="1" si="6"/>
        <v>5822045190822</v>
      </c>
      <c r="H57" s="43">
        <f t="shared" ca="1" si="7"/>
        <v>37091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25</v>
      </c>
      <c r="D58" s="36" t="s">
        <v>152</v>
      </c>
      <c r="E58" s="36">
        <f t="shared" ca="1" si="5"/>
        <v>21</v>
      </c>
      <c r="F58" s="36" t="s">
        <v>166</v>
      </c>
      <c r="G58" s="42">
        <f t="shared" ca="1" si="6"/>
        <v>4939456550221</v>
      </c>
      <c r="H58" s="43">
        <f t="shared" ca="1" si="7"/>
        <v>39355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30</v>
      </c>
      <c r="D59" s="36" t="s">
        <v>153</v>
      </c>
      <c r="E59" s="36">
        <f t="shared" ca="1" si="5"/>
        <v>21</v>
      </c>
      <c r="F59" s="36" t="s">
        <v>159</v>
      </c>
      <c r="G59" s="42">
        <f t="shared" ca="1" si="6"/>
        <v>8912329884704</v>
      </c>
      <c r="H59" s="43">
        <f t="shared" ca="1" si="7"/>
        <v>41120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29</v>
      </c>
      <c r="D60" s="36" t="s">
        <v>152</v>
      </c>
      <c r="E60" s="36">
        <f t="shared" ca="1" si="5"/>
        <v>26</v>
      </c>
      <c r="F60" s="36" t="s">
        <v>165</v>
      </c>
      <c r="G60" s="42">
        <f t="shared" ca="1" si="6"/>
        <v>3425613520754</v>
      </c>
      <c r="H60" s="43">
        <f t="shared" ca="1" si="7"/>
        <v>41176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30</v>
      </c>
      <c r="D61" s="36" t="s">
        <v>153</v>
      </c>
      <c r="E61" s="36">
        <f t="shared" ca="1" si="5"/>
        <v>36</v>
      </c>
      <c r="F61" s="36" t="s">
        <v>163</v>
      </c>
      <c r="G61" s="42">
        <f t="shared" ca="1" si="6"/>
        <v>4979641679281</v>
      </c>
      <c r="H61" s="43">
        <f t="shared" ca="1" si="7"/>
        <v>39966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26</v>
      </c>
      <c r="D62" s="36" t="s">
        <v>152</v>
      </c>
      <c r="E62" s="36">
        <f t="shared" ca="1" si="5"/>
        <v>38</v>
      </c>
      <c r="F62" s="36" t="s">
        <v>154</v>
      </c>
      <c r="G62" s="42">
        <f t="shared" ca="1" si="6"/>
        <v>8048786264084</v>
      </c>
      <c r="H62" s="43">
        <f t="shared" ca="1" si="7"/>
        <v>39426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29</v>
      </c>
      <c r="D63" s="36" t="s">
        <v>153</v>
      </c>
      <c r="E63" s="36">
        <f t="shared" ca="1" si="5"/>
        <v>22</v>
      </c>
      <c r="F63" s="36" t="s">
        <v>161</v>
      </c>
      <c r="G63" s="42">
        <f t="shared" ca="1" si="6"/>
        <v>3281787906952</v>
      </c>
      <c r="H63" s="43">
        <f t="shared" ca="1" si="7"/>
        <v>38041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30</v>
      </c>
      <c r="D64" s="36" t="s">
        <v>153</v>
      </c>
      <c r="E64" s="36">
        <f t="shared" ca="1" si="5"/>
        <v>28</v>
      </c>
      <c r="F64" s="36" t="s">
        <v>156</v>
      </c>
      <c r="G64" s="42">
        <f t="shared" ca="1" si="6"/>
        <v>7413144924663</v>
      </c>
      <c r="H64" s="43">
        <f t="shared" ca="1" si="7"/>
        <v>41388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40</v>
      </c>
      <c r="F65" s="36" t="s">
        <v>160</v>
      </c>
      <c r="G65" s="42">
        <f t="shared" ca="1" si="6"/>
        <v>4283843286912</v>
      </c>
      <c r="H65" s="43">
        <f t="shared" ca="1" si="7"/>
        <v>37331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27</v>
      </c>
      <c r="D66" s="36" t="s">
        <v>153</v>
      </c>
      <c r="E66" s="36">
        <f t="shared" ca="1" si="5"/>
        <v>38</v>
      </c>
      <c r="F66" s="36" t="s">
        <v>164</v>
      </c>
      <c r="G66" s="42">
        <f t="shared" ca="1" si="6"/>
        <v>2925546938308</v>
      </c>
      <c r="H66" s="43">
        <f t="shared" ca="1" si="7"/>
        <v>42761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27</v>
      </c>
      <c r="D67" s="36" t="s">
        <v>152</v>
      </c>
      <c r="E67" s="36">
        <f t="shared" ca="1" si="5"/>
        <v>22</v>
      </c>
      <c r="F67" s="36" t="s">
        <v>156</v>
      </c>
      <c r="G67" s="42">
        <f t="shared" ca="1" si="6"/>
        <v>3741525018082</v>
      </c>
      <c r="H67" s="43">
        <f t="shared" ca="1" si="7"/>
        <v>42924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27</v>
      </c>
      <c r="D68" s="36" t="s">
        <v>152</v>
      </c>
      <c r="E68" s="36">
        <f t="shared" ca="1" si="5"/>
        <v>41</v>
      </c>
      <c r="F68" s="36" t="s">
        <v>169</v>
      </c>
      <c r="G68" s="42">
        <f t="shared" ca="1" si="6"/>
        <v>7006415197907</v>
      </c>
      <c r="H68" s="43">
        <f t="shared" ca="1" si="7"/>
        <v>39806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28</v>
      </c>
      <c r="D69" s="36" t="s">
        <v>152</v>
      </c>
      <c r="E69" s="36">
        <f t="shared" ref="E69:E104" ca="1" si="9">RANDBETWEEN(18,41)</f>
        <v>31</v>
      </c>
      <c r="F69" s="36" t="s">
        <v>169</v>
      </c>
      <c r="G69" s="42">
        <f t="shared" ref="G69:G104" ca="1" si="10">RANDBETWEEN(2000000000101,9000000009999)</f>
        <v>6291582222265</v>
      </c>
      <c r="H69" s="43">
        <f t="shared" ref="H69:H104" ca="1" si="11">RANDBETWEEN(DATE(2001,1,1),DATE(2018,7,15))</f>
        <v>41226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27</v>
      </c>
      <c r="D70" s="36" t="s">
        <v>153</v>
      </c>
      <c r="E70" s="36">
        <f t="shared" ca="1" si="9"/>
        <v>34</v>
      </c>
      <c r="F70" s="36" t="s">
        <v>155</v>
      </c>
      <c r="G70" s="42">
        <f t="shared" ca="1" si="10"/>
        <v>2538485761275</v>
      </c>
      <c r="H70" s="43">
        <f t="shared" ca="1" si="11"/>
        <v>38070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28</v>
      </c>
      <c r="D71" s="36" t="s">
        <v>152</v>
      </c>
      <c r="E71" s="36">
        <f t="shared" ca="1" si="9"/>
        <v>33</v>
      </c>
      <c r="F71" s="36" t="s">
        <v>169</v>
      </c>
      <c r="G71" s="42">
        <f t="shared" ca="1" si="10"/>
        <v>5851554767461</v>
      </c>
      <c r="H71" s="43">
        <f t="shared" ca="1" si="11"/>
        <v>39810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25</v>
      </c>
      <c r="D72" s="36" t="s">
        <v>152</v>
      </c>
      <c r="E72" s="36">
        <f t="shared" ca="1" si="9"/>
        <v>18</v>
      </c>
      <c r="F72" s="36" t="s">
        <v>156</v>
      </c>
      <c r="G72" s="42">
        <f t="shared" ca="1" si="10"/>
        <v>3927089318044</v>
      </c>
      <c r="H72" s="43">
        <f t="shared" ca="1" si="11"/>
        <v>38077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28</v>
      </c>
      <c r="D73" s="36" t="s">
        <v>153</v>
      </c>
      <c r="E73" s="36">
        <f t="shared" ca="1" si="9"/>
        <v>29</v>
      </c>
      <c r="F73" s="36" t="s">
        <v>163</v>
      </c>
      <c r="G73" s="42">
        <f t="shared" ca="1" si="10"/>
        <v>7779667115036</v>
      </c>
      <c r="H73" s="43">
        <f t="shared" ca="1" si="11"/>
        <v>41015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25</v>
      </c>
      <c r="D74" s="36" t="s">
        <v>152</v>
      </c>
      <c r="E74" s="36">
        <f t="shared" ca="1" si="9"/>
        <v>29</v>
      </c>
      <c r="F74" s="36" t="s">
        <v>169</v>
      </c>
      <c r="G74" s="42">
        <f t="shared" ca="1" si="10"/>
        <v>2810891784186</v>
      </c>
      <c r="H74" s="43">
        <f t="shared" ca="1" si="11"/>
        <v>38239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25</v>
      </c>
      <c r="D75" s="36" t="s">
        <v>152</v>
      </c>
      <c r="E75" s="36">
        <f t="shared" ca="1" si="9"/>
        <v>38</v>
      </c>
      <c r="F75" s="36" t="s">
        <v>156</v>
      </c>
      <c r="G75" s="42">
        <f t="shared" ca="1" si="10"/>
        <v>3904512003776</v>
      </c>
      <c r="H75" s="43">
        <f t="shared" ca="1" si="11"/>
        <v>39066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30</v>
      </c>
      <c r="D76" s="36" t="s">
        <v>153</v>
      </c>
      <c r="E76" s="36">
        <f t="shared" ca="1" si="9"/>
        <v>21</v>
      </c>
      <c r="F76" s="36" t="s">
        <v>156</v>
      </c>
      <c r="G76" s="42">
        <f t="shared" ca="1" si="10"/>
        <v>6917108242212</v>
      </c>
      <c r="H76" s="43">
        <f t="shared" ca="1" si="11"/>
        <v>43061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28</v>
      </c>
      <c r="D77" s="36" t="s">
        <v>152</v>
      </c>
      <c r="E77" s="36">
        <f t="shared" ca="1" si="9"/>
        <v>25</v>
      </c>
      <c r="F77" s="36" t="s">
        <v>156</v>
      </c>
      <c r="G77" s="42">
        <f t="shared" ca="1" si="10"/>
        <v>3263928651354</v>
      </c>
      <c r="H77" s="43">
        <f t="shared" ca="1" si="11"/>
        <v>41306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27</v>
      </c>
      <c r="D78" s="36" t="s">
        <v>152</v>
      </c>
      <c r="E78" s="36">
        <f t="shared" ca="1" si="9"/>
        <v>39</v>
      </c>
      <c r="F78" s="36" t="s">
        <v>156</v>
      </c>
      <c r="G78" s="42">
        <f t="shared" ca="1" si="10"/>
        <v>4224165691835</v>
      </c>
      <c r="H78" s="43">
        <f t="shared" ca="1" si="11"/>
        <v>38624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30</v>
      </c>
      <c r="D79" s="36" t="s">
        <v>152</v>
      </c>
      <c r="E79" s="36">
        <f t="shared" ca="1" si="9"/>
        <v>32</v>
      </c>
      <c r="F79" s="36" t="s">
        <v>156</v>
      </c>
      <c r="G79" s="42">
        <f t="shared" ca="1" si="10"/>
        <v>6834489417380</v>
      </c>
      <c r="H79" s="43">
        <f t="shared" ca="1" si="11"/>
        <v>37738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28</v>
      </c>
      <c r="D80" s="36" t="s">
        <v>153</v>
      </c>
      <c r="E80" s="36">
        <f t="shared" ca="1" si="9"/>
        <v>27</v>
      </c>
      <c r="F80" s="36" t="s">
        <v>159</v>
      </c>
      <c r="G80" s="42">
        <f t="shared" ca="1" si="10"/>
        <v>7360797629179</v>
      </c>
      <c r="H80" s="43">
        <f t="shared" ca="1" si="11"/>
        <v>37105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27</v>
      </c>
      <c r="D81" s="36" t="s">
        <v>152</v>
      </c>
      <c r="E81" s="36">
        <f t="shared" ca="1" si="9"/>
        <v>31</v>
      </c>
      <c r="F81" s="36" t="s">
        <v>169</v>
      </c>
      <c r="G81" s="42">
        <f t="shared" ca="1" si="10"/>
        <v>2307121440160</v>
      </c>
      <c r="H81" s="43">
        <f t="shared" ca="1" si="11"/>
        <v>37123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27</v>
      </c>
      <c r="D82" s="36" t="s">
        <v>152</v>
      </c>
      <c r="E82" s="36">
        <f t="shared" ca="1" si="9"/>
        <v>23</v>
      </c>
      <c r="F82" s="36" t="s">
        <v>154</v>
      </c>
      <c r="G82" s="42">
        <f t="shared" ca="1" si="10"/>
        <v>7656550293372</v>
      </c>
      <c r="H82" s="43">
        <f t="shared" ca="1" si="11"/>
        <v>40448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25</v>
      </c>
      <c r="D83" s="36" t="s">
        <v>153</v>
      </c>
      <c r="E83" s="36">
        <f t="shared" ca="1" si="9"/>
        <v>41</v>
      </c>
      <c r="F83" s="36" t="s">
        <v>169</v>
      </c>
      <c r="G83" s="42">
        <f t="shared" ca="1" si="10"/>
        <v>8763386067119</v>
      </c>
      <c r="H83" s="43">
        <f t="shared" ca="1" si="11"/>
        <v>40318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28</v>
      </c>
      <c r="D84" s="36" t="s">
        <v>152</v>
      </c>
      <c r="E84" s="36">
        <f t="shared" ca="1" si="9"/>
        <v>29</v>
      </c>
      <c r="F84" s="36" t="s">
        <v>156</v>
      </c>
      <c r="G84" s="42">
        <f t="shared" ca="1" si="10"/>
        <v>3942857028214</v>
      </c>
      <c r="H84" s="43">
        <f t="shared" ca="1" si="11"/>
        <v>39874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30</v>
      </c>
      <c r="D85" s="36" t="s">
        <v>153</v>
      </c>
      <c r="E85" s="36">
        <f t="shared" ca="1" si="9"/>
        <v>25</v>
      </c>
      <c r="F85" s="36" t="s">
        <v>156</v>
      </c>
      <c r="G85" s="42">
        <f t="shared" ca="1" si="10"/>
        <v>2675578984268</v>
      </c>
      <c r="H85" s="43">
        <f t="shared" ca="1" si="11"/>
        <v>37158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25</v>
      </c>
      <c r="D86" s="36" t="s">
        <v>153</v>
      </c>
      <c r="E86" s="36">
        <f t="shared" ca="1" si="9"/>
        <v>27</v>
      </c>
      <c r="F86" s="36" t="s">
        <v>155</v>
      </c>
      <c r="G86" s="42">
        <f t="shared" ca="1" si="10"/>
        <v>4467409308551</v>
      </c>
      <c r="H86" s="43">
        <f t="shared" ca="1" si="11"/>
        <v>41793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27</v>
      </c>
      <c r="D87" s="36" t="s">
        <v>153</v>
      </c>
      <c r="E87" s="36">
        <f t="shared" ca="1" si="9"/>
        <v>39</v>
      </c>
      <c r="F87" s="36" t="s">
        <v>169</v>
      </c>
      <c r="G87" s="42">
        <f t="shared" ca="1" si="10"/>
        <v>3705604752119</v>
      </c>
      <c r="H87" s="43">
        <f t="shared" ca="1" si="11"/>
        <v>40017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25</v>
      </c>
      <c r="D88" s="36" t="s">
        <v>153</v>
      </c>
      <c r="E88" s="36">
        <f t="shared" ca="1" si="9"/>
        <v>19</v>
      </c>
      <c r="F88" s="36" t="s">
        <v>156</v>
      </c>
      <c r="G88" s="42">
        <f t="shared" ca="1" si="10"/>
        <v>5525249601971</v>
      </c>
      <c r="H88" s="43">
        <f t="shared" ca="1" si="11"/>
        <v>38810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29</v>
      </c>
      <c r="D89" s="36" t="s">
        <v>153</v>
      </c>
      <c r="E89" s="36">
        <f t="shared" ca="1" si="9"/>
        <v>34</v>
      </c>
      <c r="F89" s="36" t="s">
        <v>155</v>
      </c>
      <c r="G89" s="42">
        <f t="shared" ca="1" si="10"/>
        <v>4437191435811</v>
      </c>
      <c r="H89" s="43">
        <f t="shared" ca="1" si="11"/>
        <v>37873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27</v>
      </c>
      <c r="D90" s="36" t="s">
        <v>153</v>
      </c>
      <c r="E90" s="36">
        <f t="shared" ca="1" si="9"/>
        <v>29</v>
      </c>
      <c r="F90" s="36" t="s">
        <v>168</v>
      </c>
      <c r="G90" s="42">
        <f t="shared" ca="1" si="10"/>
        <v>8567849925525</v>
      </c>
      <c r="H90" s="43">
        <f t="shared" ca="1" si="11"/>
        <v>39537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27</v>
      </c>
      <c r="D91" s="36" t="s">
        <v>152</v>
      </c>
      <c r="E91" s="36">
        <f t="shared" ca="1" si="9"/>
        <v>29</v>
      </c>
      <c r="F91" s="36" t="s">
        <v>169</v>
      </c>
      <c r="G91" s="42">
        <f t="shared" ca="1" si="10"/>
        <v>3524859528637</v>
      </c>
      <c r="H91" s="43">
        <f t="shared" ca="1" si="11"/>
        <v>41174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28</v>
      </c>
      <c r="D92" s="36" t="s">
        <v>153</v>
      </c>
      <c r="E92" s="36">
        <f t="shared" ca="1" si="9"/>
        <v>36</v>
      </c>
      <c r="F92" s="36" t="s">
        <v>169</v>
      </c>
      <c r="G92" s="42">
        <f t="shared" ca="1" si="10"/>
        <v>4145355641677</v>
      </c>
      <c r="H92" s="43">
        <f t="shared" ca="1" si="11"/>
        <v>41022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29</v>
      </c>
      <c r="D93" s="36" t="s">
        <v>152</v>
      </c>
      <c r="E93" s="36">
        <f t="shared" ca="1" si="9"/>
        <v>39</v>
      </c>
      <c r="F93" s="36" t="s">
        <v>169</v>
      </c>
      <c r="G93" s="42">
        <f t="shared" ca="1" si="10"/>
        <v>4407869516618</v>
      </c>
      <c r="H93" s="43">
        <f t="shared" ca="1" si="11"/>
        <v>37717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30</v>
      </c>
      <c r="D94" s="36" t="s">
        <v>153</v>
      </c>
      <c r="E94" s="36">
        <f t="shared" ca="1" si="9"/>
        <v>33</v>
      </c>
      <c r="F94" s="36" t="s">
        <v>156</v>
      </c>
      <c r="G94" s="42">
        <f t="shared" ca="1" si="10"/>
        <v>4707118735965</v>
      </c>
      <c r="H94" s="43">
        <f t="shared" ca="1" si="11"/>
        <v>39155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28</v>
      </c>
      <c r="D95" s="36" t="s">
        <v>152</v>
      </c>
      <c r="E95" s="36">
        <f t="shared" ca="1" si="9"/>
        <v>39</v>
      </c>
      <c r="F95" s="36" t="s">
        <v>169</v>
      </c>
      <c r="G95" s="42">
        <f t="shared" ca="1" si="10"/>
        <v>4464653920959</v>
      </c>
      <c r="H95" s="43">
        <f t="shared" ca="1" si="11"/>
        <v>39362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29</v>
      </c>
      <c r="D96" s="36" t="s">
        <v>152</v>
      </c>
      <c r="E96" s="36">
        <f t="shared" ca="1" si="9"/>
        <v>23</v>
      </c>
      <c r="F96" s="36" t="s">
        <v>154</v>
      </c>
      <c r="G96" s="42">
        <f t="shared" ca="1" si="10"/>
        <v>6943899761724</v>
      </c>
      <c r="H96" s="43">
        <f t="shared" ca="1" si="11"/>
        <v>39870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25</v>
      </c>
      <c r="D97" s="36" t="s">
        <v>152</v>
      </c>
      <c r="E97" s="36">
        <f t="shared" ca="1" si="9"/>
        <v>41</v>
      </c>
      <c r="F97" s="36" t="s">
        <v>169</v>
      </c>
      <c r="G97" s="42">
        <f t="shared" ca="1" si="10"/>
        <v>3611926930073</v>
      </c>
      <c r="H97" s="43">
        <f t="shared" ca="1" si="11"/>
        <v>39940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27</v>
      </c>
      <c r="D98" s="36" t="s">
        <v>152</v>
      </c>
      <c r="E98" s="36">
        <f t="shared" ca="1" si="9"/>
        <v>39</v>
      </c>
      <c r="F98" s="36" t="s">
        <v>169</v>
      </c>
      <c r="G98" s="42">
        <f t="shared" ca="1" si="10"/>
        <v>8080143694776</v>
      </c>
      <c r="H98" s="43">
        <f t="shared" ca="1" si="11"/>
        <v>37626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30</v>
      </c>
      <c r="D99" s="36" t="s">
        <v>152</v>
      </c>
      <c r="E99" s="36">
        <f t="shared" ca="1" si="9"/>
        <v>30</v>
      </c>
      <c r="F99" s="36" t="s">
        <v>156</v>
      </c>
      <c r="G99" s="42">
        <f t="shared" ca="1" si="10"/>
        <v>4575262050967</v>
      </c>
      <c r="H99" s="43">
        <f t="shared" ca="1" si="11"/>
        <v>39738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30</v>
      </c>
      <c r="D100" s="36" t="s">
        <v>152</v>
      </c>
      <c r="E100" s="36">
        <f t="shared" ca="1" si="9"/>
        <v>28</v>
      </c>
      <c r="F100" s="36" t="s">
        <v>157</v>
      </c>
      <c r="G100" s="42">
        <f t="shared" ca="1" si="10"/>
        <v>4872066609138</v>
      </c>
      <c r="H100" s="43">
        <f t="shared" ca="1" si="11"/>
        <v>40027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25</v>
      </c>
      <c r="D101" s="36" t="s">
        <v>153</v>
      </c>
      <c r="E101" s="36">
        <f t="shared" ca="1" si="9"/>
        <v>22</v>
      </c>
      <c r="F101" s="36" t="s">
        <v>168</v>
      </c>
      <c r="G101" s="42">
        <f t="shared" ca="1" si="10"/>
        <v>4908548291897</v>
      </c>
      <c r="H101" s="43">
        <f t="shared" ca="1" si="11"/>
        <v>38383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28</v>
      </c>
      <c r="D102" s="36" t="s">
        <v>153</v>
      </c>
      <c r="E102" s="36">
        <f t="shared" ca="1" si="9"/>
        <v>40</v>
      </c>
      <c r="F102" s="36" t="s">
        <v>156</v>
      </c>
      <c r="G102" s="42">
        <f t="shared" ca="1" si="10"/>
        <v>8208835317225</v>
      </c>
      <c r="H102" s="43">
        <f t="shared" ca="1" si="11"/>
        <v>38027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30</v>
      </c>
      <c r="D103" s="36" t="s">
        <v>152</v>
      </c>
      <c r="E103" s="36">
        <f t="shared" ca="1" si="9"/>
        <v>40</v>
      </c>
      <c r="F103" s="36" t="s">
        <v>155</v>
      </c>
      <c r="G103" s="42">
        <f t="shared" ca="1" si="10"/>
        <v>5790108731881</v>
      </c>
      <c r="H103" s="43">
        <f t="shared" ca="1" si="11"/>
        <v>42281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28</v>
      </c>
      <c r="D104" s="36" t="s">
        <v>152</v>
      </c>
      <c r="E104" s="36">
        <f t="shared" ca="1" si="9"/>
        <v>24</v>
      </c>
      <c r="F104" s="36" t="s">
        <v>167</v>
      </c>
      <c r="G104" s="42">
        <f t="shared" ca="1" si="10"/>
        <v>4995231054508</v>
      </c>
      <c r="H104" s="43">
        <f t="shared" ca="1" si="11"/>
        <v>37023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21"/>
  <sheetViews>
    <sheetView tabSelected="1" workbookViewId="0">
      <selection activeCell="A18" sqref="A18"/>
    </sheetView>
  </sheetViews>
  <sheetFormatPr baseColWidth="10" defaultRowHeight="15"/>
  <cols>
    <col min="2" max="2" width="26.7109375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>
        <v>1</v>
      </c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 t="str">
        <f>VLOOKUP(A17,'DB Empleados'!A5:I104,2,FALSE)</f>
        <v>ACEVEDO JHONG, DANIEL</v>
      </c>
      <c r="B8" s="68"/>
      <c r="C8" s="68"/>
      <c r="D8" s="7"/>
      <c r="E8" s="89">
        <f ca="1">VLOOKUP(A17,Tabla1[],5,FALSE)</f>
        <v>25</v>
      </c>
      <c r="F8" s="8"/>
      <c r="G8" s="7"/>
      <c r="H8" s="89" t="str">
        <f>VLOOKUP(A17,Tabla1[],4,FALSE)</f>
        <v>M</v>
      </c>
      <c r="I8" s="7"/>
      <c r="J8" s="8"/>
      <c r="K8" s="66" t="s">
        <v>48</v>
      </c>
      <c r="L8" s="66"/>
      <c r="M8" s="66"/>
      <c r="N8" s="7"/>
      <c r="O8" s="8"/>
      <c r="P8" s="66" t="str">
        <f>VLOOKUP(A17,'DB Empleados'!A5:I104,6,FALSE)</f>
        <v>Informática</v>
      </c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87">
        <f ca="1">VLOOKUP(A17,'DB Empleados'!A5:I104,7,FALSE)</f>
        <v>4307244824308</v>
      </c>
      <c r="G11" s="87"/>
      <c r="H11" s="87"/>
      <c r="I11" s="7"/>
      <c r="J11" s="8"/>
      <c r="K11" s="88">
        <f ca="1">VLOOKUP(A17,'DB Empleados'!A5:I104,8,FALSE)</f>
        <v>38429</v>
      </c>
      <c r="L11" s="88"/>
      <c r="M11" s="88"/>
      <c r="N11" s="7"/>
      <c r="O11" s="8"/>
      <c r="P11" s="66" t="str">
        <f>VLOOKUP(A17,'DB Empleados'!A5:I104,9,FALSE)</f>
        <v>No</v>
      </c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>
        <v>1</v>
      </c>
      <c r="C17" s="7"/>
      <c r="D17" s="7">
        <f ca="1">VLOOKUP(A17,Tabla1[],3,FALSE)</f>
        <v>25</v>
      </c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topLeftCell="B1" workbookViewId="0">
      <selection sqref="A1:F1"/>
    </sheetView>
  </sheetViews>
  <sheetFormatPr baseColWidth="10" defaultRowHeight="15"/>
  <sheetData>
    <row r="1" spans="1:6">
      <c r="A1" s="32" t="s">
        <v>172</v>
      </c>
      <c r="B1" s="1"/>
      <c r="C1" s="1"/>
      <c r="D1" s="1"/>
      <c r="E1" s="1"/>
      <c r="F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Personal</vt:lpstr>
      <vt:lpstr>DB Empleados</vt:lpstr>
      <vt:lpstr>Libro Salarios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2019-05-30T15:14:13Z</dcterms:modified>
</cp:coreProperties>
</file>